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39cd4f91444d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c662802867694417"/>
    <x:sheet xmlns:r="http://schemas.openxmlformats.org/officeDocument/2006/relationships" name="관찰 기록" sheetId="2" r:id="R95cc045cdf724b2c"/>
    <x:sheet xmlns:r="http://schemas.openxmlformats.org/officeDocument/2006/relationships" name="척도 정의" sheetId="3" r:id="R84cbe5c5a5aa40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%"/>
  </x:numFmts>
  <x:fonts count="7">
    <x:font>
      <x:sz val="11"/>
      <x:name val="Carlito"/>
    </x:font>
    <x:font>
      <x:b/>
      <x:sz val="18"/>
      <x:color rgb="FFFFFFFF"/>
      <x:name val="Malgun Gothic"/>
    </x:font>
    <x:font>
      <x:sz val="9"/>
      <x:color rgb="FF60728A"/>
      <x:name val="Malgun Gothic"/>
    </x:font>
    <x:font>
      <x:sz val="9"/>
      <x:color rgb="FF17304F"/>
      <x:name val="Malgun Gothic"/>
    </x:font>
    <x:font>
      <x:b/>
      <x:sz val="9"/>
      <x:color rgb="FFFFFFFF"/>
      <x:name val="Malgun Gothic"/>
    </x:font>
    <x:font>
      <x:b/>
      <x:sz val="13"/>
      <x:color rgb="FFFFFFFF"/>
      <x:name val="Malgun Gothic"/>
    </x:font>
    <x:font>
      <x:b/>
      <x:sz val="22"/>
      <x:color rgb="FFFFCB45"/>
      <x:name val="Malgun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102A4C"/>
      </x:patternFill>
    </x:fill>
    <x:fill>
      <x:patternFill patternType="solid">
        <x:fgColor rgb="FFFFF9EF"/>
      </x:patternFill>
    </x:fill>
    <x:fill>
      <x:patternFill patternType="solid">
        <x:fgColor rgb="FFEEF7FA"/>
      </x:patternFill>
    </x:fill>
    <x:fill>
      <x:patternFill patternType="solid">
        <x:fgColor rgb="FFF5F7FA"/>
      </x:patternFill>
    </x:fill>
    <x:fill>
      <x:patternFill patternType="solid">
        <x:fgColor rgb="FFF26455"/>
      </x:patternFill>
    </x:fill>
  </x:fills>
  <x:borders count="11">
    <x:border/>
    <x:border>
      <x:left style="thin">
        <x:color rgb="FF102A4C"/>
      </x:left>
      <x:top style="thin">
        <x:color rgb="FF102A4C"/>
      </x:top>
      <x:bottom style="thin">
        <x:color rgb="FF102A4C"/>
      </x:bottom>
    </x:border>
    <x:border>
      <x:top style="thin">
        <x:color rgb="FF102A4C"/>
      </x:top>
      <x:bottom style="thin">
        <x:color rgb="FF102A4C"/>
      </x:bottom>
    </x:border>
    <x:border>
      <x:right style="thin">
        <x:color rgb="FF102A4C"/>
      </x:right>
      <x:top style="thin">
        <x:color rgb="FF102A4C"/>
      </x:top>
      <x:bottom style="thin">
        <x:color rgb="FF102A4C"/>
      </x:bottom>
    </x:border>
    <x:border>
      <x:bottom style="thin">
        <x:color rgb="FFCCD7E2"/>
      </x:bottom>
    </x:border>
    <x:border>
      <x:top style="thin">
        <x:color rgb="FFCCD7E2"/>
      </x:top>
      <x:bottom style="thin">
        <x:color rgb="FFCCD7E2"/>
      </x:bottom>
    </x:border>
    <x:border>
      <x:left style="thin">
        <x:color rgb="FF102A4C"/>
      </x:left>
      <x:top style="thin">
        <x:color rgb="FF102A4C"/>
      </x:top>
      <x:bottom style="thin">
        <x:color rgb="FFCCD7E2"/>
      </x:bottom>
    </x:border>
    <x:border>
      <x:right style="thin">
        <x:color rgb="FF102A4C"/>
      </x:right>
      <x:top style="thin">
        <x:color rgb="FF102A4C"/>
      </x:top>
      <x:bottom style="thin">
        <x:color rgb="FFCCD7E2"/>
      </x:bottom>
    </x:border>
    <x:border>
      <x:top style="thin">
        <x:color rgb="FF102A4C"/>
      </x:top>
      <x:bottom style="thin">
        <x:color rgb="FFCCD7E2"/>
      </x:bottom>
    </x:border>
    <x:border>
      <x:left style="thin">
        <x:color rgb="FF102A4C"/>
      </x:left>
      <x:top style="thin">
        <x:color rgb="FFCCD7E2"/>
      </x:top>
      <x:bottom style="thin">
        <x:color rgb="FFCCD7E2"/>
      </x:bottom>
    </x:border>
    <x:border>
      <x:right style="thin">
        <x:color rgb="FF102A4C"/>
      </x:right>
      <x:top style="thin">
        <x:color rgb="FFCCD7E2"/>
      </x:top>
      <x:bottom style="thin">
        <x:color rgb="FFCCD7E2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left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horizontal="center" vertical="center"/>
    </x:xf>
    <x:xf numFmtId="202" fontId="3" fillId="0" borderId="0" xfId="0" applyNumberFormat="1" applyFont="1" applyFill="1" applyBorder="1" applyAlignment="1">
      <x:alignment horizontal="center"/>
    </x:xf>
    <x:xf numFmtId="202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 wrapText="1"/>
    </x:xf>
    <x:xf numFmtId="202" fontId="3" fillId="0" borderId="4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202" fontId="3" fillId="0" borderId="5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4" fillId="2" borderId="8" xfId="0" applyNumberFormat="1" applyFont="1" applyFill="1" applyBorder="1" applyAlignment="1">
      <x:alignment horizontal="center" vertical="center" wrapText="1"/>
    </x:xf>
    <x:xf numFmtId="0" fontId="3" fillId="0" borderId="9" xfId="0" applyNumberFormat="1" applyFont="1" applyFill="1" applyBorder="1"/>
    <x:xf numFmtId="0" fontId="3" fillId="0" borderId="5" xfId="0" applyNumberFormat="1" applyFont="1" applyFill="1" applyBorder="1" applyAlignment="1">
      <x:alignment wrapText="1"/>
    </x:xf>
    <x:xf numFmtId="0" fontId="3" fillId="0" borderId="5" xfId="0" applyNumberFormat="1" applyFont="1" applyFill="1" applyBorder="1"/>
    <x:xf numFmtId="0" fontId="4" fillId="2" borderId="9" xfId="0" applyNumberFormat="1" applyFont="1" applyFill="1" applyBorder="1" applyAlignment="1">
      <x:alignment horizontal="center" vertic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2" borderId="10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5">
    <x:dxf>
      <x:font>
        <x:b/>
        <x:color rgb="FF2F8F64"/>
      </x:font>
      <x:fill>
        <x:patternFill patternType="solid">
          <x:bgColor rgb="FFE8F5EE"/>
        </x:patternFill>
      </x:fill>
    </x:dxf>
    <x:dxf>
      <x:font>
        <x:b/>
        <x:color rgb="FFC94138"/>
      </x:font>
      <x:fill>
        <x:patternFill patternType="solid">
          <x:bgColor rgb="FFFDECEA"/>
        </x:patternFill>
      </x:fill>
    </x:dxf>
    <x:dxf>
      <x:font>
        <x:b/>
        <x:color rgb="FF2F8F64"/>
      </x:font>
      <x:fill>
        <x:patternFill patternType="solid">
          <x:bgColor rgb="FFE8F5EE"/>
        </x:patternFill>
      </x:fill>
    </x:dxf>
    <x:dxf>
      <x:font>
        <x:b/>
        <x:color rgb="FFC94138"/>
      </x:font>
      <x:fill>
        <x:patternFill patternType="solid">
          <x:bgColor rgb="FFFDECEA"/>
        </x:patternFill>
      </x:fill>
    </x:dxf>
    <x:dxf>
      <x:font>
        <x:b/>
        <x:color rgb="FF2F8F64"/>
      </x:font>
      <x:fill>
        <x:patternFill patternType="solid">
          <x:bgColor rgb="FFE8F5EE"/>
        </x:patternFill>
      </x:fill>
    </x:dxf>
    <x:dxf>
      <x:font>
        <x:b/>
        <x:color rgb="FFC94138"/>
      </x:font>
      <x:fill>
        <x:patternFill patternType="solid">
          <x:bgColor rgb="FFFDECEA"/>
        </x:patternFill>
      </x:fill>
    </x:dxf>
    <x:dxf>
      <x:font>
        <x:b/>
        <x:color rgb="FF2F8F64"/>
      </x:font>
      <x:fill>
        <x:patternFill patternType="solid">
          <x:bgColor rgb="FFE8F5EE"/>
        </x:patternFill>
      </x:fill>
    </x:dxf>
    <x:dxf>
      <x:font>
        <x:b/>
        <x:color rgb="FFC94138"/>
      </x:font>
      <x:fill>
        <x:patternFill patternType="solid">
          <x:bgColor rgb="FFFDECEA"/>
        </x:patternFill>
      </x:fill>
    </x:dxf>
    <x:dxf>
      <x:font>
        <x:b/>
        <x:color rgb="FF2F8F64"/>
      </x:font>
      <x:fill>
        <x:patternFill patternType="solid">
          <x:bgColor rgb="FFE8F5EE"/>
        </x:patternFill>
      </x:fill>
    </x:dxf>
    <x:dxf>
      <x:font>
        <x:b/>
        <x:color rgb="FFC94138"/>
      </x:font>
      <x:fill>
        <x:patternFill patternType="solid">
          <x:bgColor rgb="FFFDECEA"/>
        </x:patternFill>
      </x:fill>
    </x:dxf>
    <x:dxf>
      <x:font>
        <x:b/>
        <x:color rgb="FF2F8F64"/>
      </x:font>
      <x:fill>
        <x:patternFill patternType="solid">
          <x:bgColor rgb="FFE8F5EE"/>
        </x:patternFill>
      </x:fill>
    </x:dxf>
    <x:dxf>
      <x:font>
        <x:b/>
        <x:color rgb="FFC94138"/>
      </x:font>
      <x:fill>
        <x:patternFill patternType="solid">
          <x:bgColor rgb="FFFDECEA"/>
        </x:patternFill>
      </x:fill>
    </x:dxf>
    <x:dxf>
      <x:font>
        <x:b/>
        <x:color rgb="FF2F8F64"/>
      </x:font>
      <x:fill>
        <x:patternFill patternType="solid">
          <x:bgColor rgb="FFE8F5EE"/>
        </x:patternFill>
      </x:fill>
    </x:dxf>
    <x:dxf>
      <x:font>
        <x:b/>
        <x:color rgb="FFC94138"/>
      </x:font>
      <x:fill>
        <x:patternFill patternType="solid">
          <x:bgColor rgb="FFFDECEA"/>
        </x:patternFill>
      </x:fill>
    </x:dxf>
    <x:dxf>
      <x:font>
        <x:color rgb="FF60728A"/>
      </x:font>
      <x:fill>
        <x:patternFill patternType="solid">
          <x:bgColor rgb="FFF5F7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89504634274159" /><Relationship Type="http://schemas.openxmlformats.org/officeDocument/2006/relationships/theme" Target="/xl/theme/theme1.xml" Id="R6027ab18dd644a7d" /><Relationship Type="http://schemas.openxmlformats.org/officeDocument/2006/relationships/sharedStrings" Target="/xl/sharedStrings.xml" Id="R46167dd37ad44ec9" /><Relationship Type="http://schemas.openxmlformats.org/officeDocument/2006/relationships/worksheet" Target="/xl/worksheets/sheet1.xml" Id="Rc662802867694417" /><Relationship Type="http://schemas.openxmlformats.org/officeDocument/2006/relationships/worksheet" Target="/xl/worksheets/sheet2.xml" Id="R95cc045cdf724b2c" /><Relationship Type="http://schemas.openxmlformats.org/officeDocument/2006/relationships/worksheet" Target="/xl/worksheets/sheet3.xml" Id="R84cbe5c5a5aa40ca" /></Relationships>
</file>

<file path=xl/tables/table1.xml><?xml version="1.0" encoding="utf-8"?>
<x:table xmlns:x="http://schemas.openxmlformats.org/spreadsheetml/2006/main" id="1" name="Gate6ObservationTable" displayName="Gate6ObservationTable" ref="A5:X35" headerRowCount="1" totalsRowCount="0" totalsRowShown="0">
  <x:autoFilter ref="A5:X35"/>
  <x:tableColumns count="24">
    <x:tableColumn id="1" name="참여자 ID"/>
    <x:tableColumn id="2" name="학년군"/>
    <x:tableColumn id="3" name="검증일"/>
    <x:tableColumn id="4" name="보호자 동의"/>
    <x:tableColumn id="5" name="5초 내 상황 인지"/>
    <x:tableColumn id="6" name="겉옷 정답"/>
    <x:tableColumn id="7" name="하의 정답"/>
    <x:tableColumn id="8" name="신발 정답"/>
    <x:tableColumn id="9" name="소품 정답"/>
    <x:tableColumn id="10" name="선택 완료(초)"/>
    <x:tableColumn id="11" name="카드-착용 일치"/>
    <x:tableColumn id="12" name="착용 자연스러움"/>
    <x:tableColumn id="13" name="레이어 어색함 발견"/>
    <x:tableColumn id="14" name="TPO 이유 점수"/>
    <x:tableColumn id="15" name="피드백 뒤 재시도"/>
    <x:tableColumn id="16" name="수달 호감"/>
    <x:tableColumn id="17" name="다음 화 의향"/>
    <x:tableColumn id="18" name="새 상황 적용"/>
    <x:tableColumn id="19" name="관찰 메모"/>
    <x:tableColumn id="20" name="4부위 정답률"/>
    <x:tableColumn id="21" name="TPO 이유 통과"/>
    <x:tableColumn id="22" name="수달 호감 통과"/>
    <x:tableColumn id="23" name="다음 화 통과"/>
    <x:tableColumn id="24" name="종합 관찰 통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5729d0b1e64d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27.5" hidden="0" customWidth="1"/>
    <x:col min="3" max="3" width="9.75" hidden="0" customWidth="1"/>
    <x:col min="4" max="4" width="9.75" hidden="0" customWidth="1"/>
    <x:col min="5" max="5" width="10.25" hidden="0" customWidth="1"/>
    <x:col min="6" max="6" width="8.75" hidden="0" customWidth="1"/>
    <x:col min="7" max="7" width="27.5" hidden="0" customWidth="1"/>
  </x:cols>
  <x:sheetData>
    <x:row r="1" ht="38" customHeight="1">
      <x:c r="A1" s="4" t="str">
        <x:v>TPO STYLE RESCUE · Gate 6 검증 요약</x:v>
      </x:c>
      <x:c r="B1" s="4"/>
      <x:c r="C1" s="4"/>
      <x:c r="D1" s="4"/>
      <x:c r="E1" s="4"/>
      <x:c r="F1" s="4"/>
      <x:c r="G1" s="4"/>
    </x:row>
    <x:row r="2">
      <x:c r="A2" s="29" t="str">
        <x:v>Gate 7 결정</x:v>
      </x:c>
      <x:c r="B2" s="29"/>
      <x:c r="C2" s="32" t="str">
        <x:f>IF(COUNT(D6:D15)=0,"데이터 입력 대기",IF(COUNTIF(E6:E15,"수정")=0,"GO",IF(COUNTIF(E6:E15,"수정")&lt;=2,"REVISE","STOP")))</x:f>
        <x:v>데이터 입력 대기</x:v>
      </x:c>
      <x:c r="D2" s="32"/>
      <x:c r="E2" s="32"/>
      <x:c r="F2" s="32"/>
      <x:c r="G2" s="32"/>
    </x:row>
    <x:row r="3">
      <x:c r="A3" s="29"/>
      <x:c r="B3" s="29"/>
      <x:c r="C3" s="32"/>
      <x:c r="D3" s="32"/>
      <x:c r="E3" s="32"/>
      <x:c r="F3" s="32"/>
      <x:c r="G3" s="32"/>
    </x:row>
    <x:row r="5" ht="34" customHeight="1">
      <x:c r="A5" s="13" t="str">
        <x:v>지표</x:v>
      </x:c>
      <x:c r="B5" s="14" t="str">
        <x:v>정의</x:v>
      </x:c>
      <x:c r="C5" s="14" t="str">
        <x:v>기준</x:v>
      </x:c>
      <x:c r="D5" s="14" t="str">
        <x:v>결과</x:v>
      </x:c>
      <x:c r="E5" s="14" t="str">
        <x:v>판정</x:v>
      </x:c>
      <x:c r="F5" s="14" t="str">
        <x:v>표본수</x:v>
      </x:c>
      <x:c r="G5" s="15" t="str">
        <x:v>해석</x:v>
      </x:c>
    </x:row>
    <x:row r="6" ht="32" customHeight="1">
      <x:c r="A6" s="36" t="str">
        <x:v>상황 인지</x:v>
      </x:c>
      <x:c r="B6" s="37" t="str">
        <x:v>5초 내 장소·훈련 목적 인지</x:v>
      </x:c>
      <x:c r="C6" s="38" t="n">
        <x:v>0.8</x:v>
      </x:c>
      <x:c r="D6" s="38" t="str">
        <x:f>IFERROR(AVERAGE('관찰 기록'!E6:E35),"")</x:f>
      </x:c>
      <x:c r="E6" s="39" t="str">
        <x:f>IF(D6="","미입력",IF(D6&gt;=C6,"통과","수정"))</x:f>
        <x:v>미입력</x:v>
      </x:c>
      <x:c r="F6" s="39" t="n">
        <x:f>COUNT('관찰 기록'!E6:E35)</x:f>
        <x:v>0</x:v>
      </x:c>
      <x:c r="G6" s="37" t="str">
        <x:v>배경과 복장이 먼저 읽히는지</x:v>
      </x:c>
    </x:row>
    <x:row r="7" ht="32" customHeight="1">
      <x:c r="A7" s="40" t="str">
        <x:v>4부위 정답</x:v>
      </x:c>
      <x:c r="B7" s="41" t="str">
        <x:v>겉옷·하의·신발·소품 평균</x:v>
      </x:c>
      <x:c r="C7" s="42" t="n">
        <x:v>0.75</x:v>
      </x:c>
      <x:c r="D7" s="42" t="str">
        <x:f>IFERROR(AVERAGE('관찰 기록'!T6:T35),"")</x:f>
      </x:c>
      <x:c r="E7" s="43" t="str">
        <x:f>IF(D7="","미입력",IF(D7&gt;=C7,"통과","수정"))</x:f>
        <x:v>미입력</x:v>
      </x:c>
      <x:c r="F7" s="43" t="n">
        <x:f>COUNT('관찰 기록'!T6:T35)</x:f>
        <x:v>0</x:v>
      </x:c>
      <x:c r="G7" s="41" t="str">
        <x:v>정답 에셋의 기능 구분</x:v>
      </x:c>
    </x:row>
    <x:row r="8" ht="32" customHeight="1">
      <x:c r="A8" s="40" t="str">
        <x:v>카드-착용 일치</x:v>
      </x:c>
      <x:c r="B8" s="41" t="str">
        <x:v>카드와 캐릭터 변화가 같다고 인지</x:v>
      </x:c>
      <x:c r="C8" s="42" t="n">
        <x:v>0.9</x:v>
      </x:c>
      <x:c r="D8" s="42" t="str">
        <x:f>IFERROR(AVERAGE('관찰 기록'!K6:K35),"")</x:f>
      </x:c>
      <x:c r="E8" s="43" t="str">
        <x:f>IF(D8="","미입력",IF(D8&gt;=C8,"통과","수정"))</x:f>
        <x:v>미입력</x:v>
      </x:c>
      <x:c r="F8" s="43" t="n">
        <x:f>COUNT('관찰 기록'!K6:K35)</x:f>
        <x:v>0</x:v>
      </x:c>
      <x:c r="G8" s="41" t="str">
        <x:v>선택-결과 피드백 연결</x:v>
      </x:c>
    </x:row>
    <x:row r="9" ht="32" customHeight="1">
      <x:c r="A9" s="40" t="str">
        <x:v>착용 자연스러움</x:v>
      </x:c>
      <x:c r="B9" s="41" t="str">
        <x:v>옷이 몸에 자연스럽게 맞는다고 인지</x:v>
      </x:c>
      <x:c r="C9" s="42" t="n">
        <x:v>0.9</x:v>
      </x:c>
      <x:c r="D9" s="42" t="str">
        <x:f>IFERROR(AVERAGE('관찰 기록'!L6:L35),"")</x:f>
      </x:c>
      <x:c r="E9" s="43" t="str">
        <x:f>IF(D9="","미입력",IF(D9&gt;=C9,"통과","수정"))</x:f>
        <x:v>미입력</x:v>
      </x:c>
      <x:c r="F9" s="43" t="n">
        <x:f>COUNT('관찰 기록'!L6:L35)</x:f>
        <x:v>0</x:v>
      </x:c>
      <x:c r="G9" s="41" t="str">
        <x:v>레이어 위치와 비율</x:v>
      </x:c>
    </x:row>
    <x:row r="10" ht="32" customHeight="1">
      <x:c r="A10" s="40" t="str">
        <x:v>레이어 어색함</x:v>
      </x:c>
      <x:c r="B10" s="41" t="str">
        <x:v>뜸·가림·붙여넣기 느낌 발견</x:v>
      </x:c>
      <x:c r="C10" s="42" t="n">
        <x:v>0.1</x:v>
      </x:c>
      <x:c r="D10" s="42" t="str">
        <x:f>IFERROR(AVERAGE('관찰 기록'!M6:M35),"")</x:f>
      </x:c>
      <x:c r="E10" s="43" t="str">
        <x:f>IF(D10="","미입력",IF(D10&lt;=C10,"통과","수정"))</x:f>
        <x:v>미입력</x:v>
      </x:c>
      <x:c r="F10" s="43" t="n">
        <x:f>COUNT('관찰 기록'!M6:M35)</x:f>
        <x:v>0</x:v>
      </x:c>
      <x:c r="G10" s="41" t="str">
        <x:v>낮을수록 좋음</x:v>
      </x:c>
    </x:row>
    <x:row r="11" ht="32" customHeight="1">
      <x:c r="A11" s="40" t="str">
        <x:v>TPO 설명</x:v>
      </x:c>
      <x:c r="B11" s="41" t="str">
        <x:v>상황 또는 기능을 말한 2점 이상</x:v>
      </x:c>
      <x:c r="C11" s="42" t="n">
        <x:v>0.7</x:v>
      </x:c>
      <x:c r="D11" s="42" t="str">
        <x:f>IFERROR(AVERAGE('관찰 기록'!U6:U35),"")</x:f>
      </x:c>
      <x:c r="E11" s="43" t="str">
        <x:f>IF(D11="","미입력",IF(D11&gt;=C11,"통과","수정"))</x:f>
        <x:v>미입력</x:v>
      </x:c>
      <x:c r="F11" s="43" t="n">
        <x:f>COUNT('관찰 기록'!U6:U35)</x:f>
        <x:v>0</x:v>
      </x:c>
      <x:c r="G11" s="41" t="str">
        <x:v>그림 맞히기를 넘어선 이해</x:v>
      </x:c>
    </x:row>
    <x:row r="12" ht="32" customHeight="1">
      <x:c r="A12" s="40" t="str">
        <x:v>재시도</x:v>
      </x:c>
      <x:c r="B12" s="41" t="str">
        <x:v>오답 피드백 뒤 다시 고름</x:v>
      </x:c>
      <x:c r="C12" s="42" t="n">
        <x:v>0.75</x:v>
      </x:c>
      <x:c r="D12" s="42" t="str">
        <x:f>IFERROR(AVERAGE('관찰 기록'!O6:O35),"")</x:f>
      </x:c>
      <x:c r="E12" s="43" t="str">
        <x:f>IF(D12="","미입력",IF(D12&gt;=C12,"통과","수정"))</x:f>
        <x:v>미입력</x:v>
      </x:c>
      <x:c r="F12" s="43" t="n">
        <x:f>COUNT('관찰 기록'!O6:O35)</x:f>
        <x:v>0</x:v>
      </x:c>
      <x:c r="G12" s="41" t="str">
        <x:v>실패가 중단으로 이어지는지</x:v>
      </x:c>
    </x:row>
    <x:row r="13" ht="32" customHeight="1">
      <x:c r="A13" s="40" t="str">
        <x:v>수달 호감</x:v>
      </x:c>
      <x:c r="B13" s="41" t="str">
        <x:v>캐릭터 호감 4점 이상</x:v>
      </x:c>
      <x:c r="C13" s="42" t="n">
        <x:v>0.8</x:v>
      </x:c>
      <x:c r="D13" s="42" t="str">
        <x:f>IFERROR(AVERAGE('관찰 기록'!V6:V35),"")</x:f>
      </x:c>
      <x:c r="E13" s="43" t="str">
        <x:f>IF(D13="","미입력",IF(D13&gt;=C13,"통과","수정"))</x:f>
        <x:v>미입력</x:v>
      </x:c>
      <x:c r="F13" s="43" t="n">
        <x:f>COUNT('관찰 기록'!V6:V35)</x:f>
        <x:v>0</x:v>
      </x:c>
      <x:c r="G13" s="41" t="str">
        <x:v>동물 캐릭터 방향성</x:v>
      </x:c>
    </x:row>
    <x:row r="14" ht="32" customHeight="1">
      <x:c r="A14" s="40" t="str">
        <x:v>다음 화 의향</x:v>
      </x:c>
      <x:c r="B14" s="41" t="str">
        <x:v>다음 에피소드 의향 4점 이상</x:v>
      </x:c>
      <x:c r="C14" s="42" t="n">
        <x:v>0.75</x:v>
      </x:c>
      <x:c r="D14" s="42" t="str">
        <x:f>IFERROR(AVERAGE('관찰 기록'!W6:W35),"")</x:f>
      </x:c>
      <x:c r="E14" s="43" t="str">
        <x:f>IF(D14="","미입력",IF(D14&gt;=C14,"통과","수정"))</x:f>
        <x:v>미입력</x:v>
      </x:c>
      <x:c r="F14" s="43" t="n">
        <x:f>COUNT('관찰 기록'!W6:W35)</x:f>
        <x:v>0</x:v>
      </x:c>
      <x:c r="G14" s="41" t="str">
        <x:v>반복 플레이 동기</x:v>
      </x:c>
    </x:row>
    <x:row r="15" ht="32" customHeight="1">
      <x:c r="A15" s="40" t="str">
        <x:v>새 상황 적용</x:v>
      </x:c>
      <x:c r="B15" s="41" t="str">
        <x:v>다른 장소에서도 기능에 맞게 선택</x:v>
      </x:c>
      <x:c r="C15" s="42" t="n">
        <x:v>0.7</x:v>
      </x:c>
      <x:c r="D15" s="42" t="str">
        <x:f>IFERROR(AVERAGE('관찰 기록'!R6:R35),"")</x:f>
      </x:c>
      <x:c r="E15" s="43" t="str">
        <x:f>IF(D15="","미입력",IF(D15&gt;=C15,"통과","수정"))</x:f>
        <x:v>미입력</x:v>
      </x:c>
      <x:c r="F15" s="43" t="n">
        <x:f>COUNT('관찰 기록'!R6:R35)</x:f>
        <x:v>0</x:v>
      </x:c>
      <x:c r="G15" s="41" t="str">
        <x:v>학습 전이 가능성</x:v>
      </x:c>
    </x:row>
    <x:row r="17" ht="29" customHeight="1">
      <x:c r="A17" s="6" t="str">
        <x:v>결정 규칙 · 미달 0개=GO · 미달 1-2개=REVISE · 미달 3개 이상=STOP. 단, 선택·일치·자연스러움의 중대한 문제는 개수와 무관하게 수정합니다.</x:v>
      </x:c>
      <x:c r="B17" s="6"/>
      <x:c r="C17" s="6"/>
      <x:c r="D17" s="6"/>
      <x:c r="E17" s="6"/>
      <x:c r="F17" s="6"/>
      <x:c r="G17" s="6"/>
    </x:row>
  </x:sheetData>
  <x:mergeCells>
    <x:mergeCell ref="A1:G1"/>
    <x:mergeCell ref="A2:B3"/>
    <x:mergeCell ref="C2:G3"/>
    <x:mergeCell ref="A17:G17"/>
  </x:mergeCells>
  <x:conditionalFormatting sqref="E6:E15">
    <x:cfRule type="containsText" dxfId="12" priority="1" operator="containsText" text="통과"/>
    <x:cfRule type="containsText" dxfId="13" priority="2" operator="containsText" text="수정"/>
    <x:cfRule type="containsText" dxfId="14" priority="3" operator="containsText" text="미입력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0.25" hidden="0" customWidth="1"/>
    <x:col min="3" max="3" width="11.5" hidden="0" customWidth="1"/>
    <x:col min="4" max="4" width="10.25" hidden="0" customWidth="1"/>
    <x:col min="5" max="5" width="11.25" hidden="0" customWidth="1"/>
    <x:col min="6" max="6" width="8.75" hidden="0" customWidth="1"/>
    <x:col min="7" max="7" width="8.75" hidden="0" customWidth="1"/>
    <x:col min="8" max="8" width="8.75" hidden="0" customWidth="1"/>
    <x:col min="9" max="9" width="8.75" hidden="0" customWidth="1"/>
    <x:col min="10" max="10" width="11.25" hidden="0" customWidth="1"/>
    <x:col min="11" max="11" width="11.5" hidden="0" customWidth="1"/>
    <x:col min="12" max="12" width="11.5" hidden="0" customWidth="1"/>
    <x:col min="13" max="13" width="13" hidden="0" customWidth="1"/>
    <x:col min="14" max="14" width="11.25" hidden="0" customWidth="1"/>
    <x:col min="15" max="15" width="13" hidden="0" customWidth="1"/>
    <x:col min="16" max="16" width="9.75" hidden="0" customWidth="1"/>
    <x:col min="17" max="17" width="10.75" hidden="0" customWidth="1"/>
    <x:col min="18" max="18" width="11" hidden="0" customWidth="1"/>
    <x:col min="19" max="19" width="35" hidden="0" customWidth="1"/>
    <x:col min="20" max="20" width="11.5" hidden="0" customWidth="1"/>
    <x:col min="21" max="21" width="11.5" hidden="0" customWidth="1"/>
    <x:col min="22" max="22" width="11.5" hidden="0" customWidth="1"/>
    <x:col min="23" max="23" width="11.5" hidden="0" customWidth="1"/>
    <x:col min="24" max="24" width="13" hidden="0" customWidth="1"/>
  </x:cols>
  <x:sheetData>
    <x:row r="1" ht="38" customHeight="1">
      <x:c r="A1" s="4" t="str">
        <x:v>TPO STYLE RESCUE · Gate 6 아동 관찰 기록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</x:row>
    <x:row r="2" ht="25" customHeight="1">
      <x:c r="A2" s="6" t="str">
        <x:v>아동 이름은 기록하지 않습니다. 참여자 ID만 사용하고, 보호자 동의 확인 후 1명당 한 행에 입력하세요.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</x:row>
    <x:row r="3" ht="23" customHeight="1">
      <x:c r="A3" s="8" t="str">
        <x:v>입력 규칙 · 0=아니오/오답, 1=예/정답 · TPO 이유 0-3점 · 호감/다음 화 1-5점 · 레이어 어색함은 0=없음, 1=있음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</x:row>
    <x:row r="5" ht="48" customHeight="1">
      <x:c r="A5" s="13" t="str">
        <x:v>참여자 ID</x:v>
      </x:c>
      <x:c r="B5" s="14" t="str">
        <x:v>학년군</x:v>
      </x:c>
      <x:c r="C5" s="14" t="str">
        <x:v>검증일</x:v>
      </x:c>
      <x:c r="D5" s="14" t="str">
        <x:v>보호자 동의</x:v>
      </x:c>
      <x:c r="E5" s="14" t="str">
        <x:v>5초 내 상황 인지</x:v>
      </x:c>
      <x:c r="F5" s="14" t="str">
        <x:v>겉옷 정답</x:v>
      </x:c>
      <x:c r="G5" s="14" t="str">
        <x:v>하의 정답</x:v>
      </x:c>
      <x:c r="H5" s="14" t="str">
        <x:v>신발 정답</x:v>
      </x:c>
      <x:c r="I5" s="14" t="str">
        <x:v>소품 정답</x:v>
      </x:c>
      <x:c r="J5" s="14" t="str">
        <x:v>선택 완료(초)</x:v>
      </x:c>
      <x:c r="K5" s="14" t="str">
        <x:v>카드-착용 일치</x:v>
      </x:c>
      <x:c r="L5" s="14" t="str">
        <x:v>착용 자연스러움</x:v>
      </x:c>
      <x:c r="M5" s="14" t="str">
        <x:v>레이어 어색함 발견</x:v>
      </x:c>
      <x:c r="N5" s="14" t="str">
        <x:v>TPO 이유 점수</x:v>
      </x:c>
      <x:c r="O5" s="14" t="str">
        <x:v>피드백 뒤 재시도</x:v>
      </x:c>
      <x:c r="P5" s="14" t="str">
        <x:v>수달 호감</x:v>
      </x:c>
      <x:c r="Q5" s="14" t="str">
        <x:v>다음 화 의향</x:v>
      </x:c>
      <x:c r="R5" s="14" t="str">
        <x:v>새 상황 적용</x:v>
      </x:c>
      <x:c r="S5" s="14" t="str">
        <x:v>관찰 메모</x:v>
      </x:c>
      <x:c r="T5" s="14" t="str">
        <x:v>4부위 정답률</x:v>
      </x:c>
      <x:c r="U5" s="14" t="str">
        <x:v>TPO 이유 통과</x:v>
      </x:c>
      <x:c r="V5" s="14" t="str">
        <x:v>수달 호감 통과</x:v>
      </x:c>
      <x:c r="W5" s="14" t="str">
        <x:v>다음 화 통과</x:v>
      </x:c>
      <x:c r="X5" s="15" t="str">
        <x:v>종합 관찰 통과</x:v>
      </x:c>
    </x:row>
    <x:row r="6" ht="25" customHeight="1">
      <x:c r="A6" s="17"/>
      <x:c r="B6" s="17"/>
      <x:c r="C6" s="21"/>
      <x:c r="D6" s="17"/>
      <x:c r="E6" s="18"/>
      <x:c r="F6" s="18"/>
      <x:c r="G6" s="18"/>
      <x:c r="H6" s="18"/>
      <x:c r="I6" s="18"/>
      <x:c r="J6" s="22"/>
      <x:c r="K6" s="18"/>
      <x:c r="L6" s="18"/>
      <x:c r="M6" s="18"/>
      <x:c r="N6" s="18"/>
      <x:c r="O6" s="18"/>
      <x:c r="P6" s="18"/>
      <x:c r="Q6" s="18"/>
      <x:c r="R6" s="18"/>
      <x:c r="S6" s="20"/>
      <x:c r="T6" s="24" t="str">
        <x:f>IF(COUNTA(F6:I6)=0,"",AVERAGE(F6:I6))</x:f>
      </x:c>
      <x:c r="U6" s="25" t="str">
        <x:f>IF(N6="","",IF(N6&gt;=2,1,0))</x:f>
      </x:c>
      <x:c r="V6" s="25" t="str">
        <x:f>IF(P6="","",IF(P6&gt;=4,1,0))</x:f>
      </x:c>
      <x:c r="W6" s="25" t="str">
        <x:f>IF(Q6="","",IF(Q6&gt;=4,1,0))</x:f>
      </x:c>
      <x:c r="X6" s="25" t="str">
        <x:f>IF(A6="","",IF(AND(E6=1,T6&gt;=0.75,K6=1,L6=1,N6&gt;=2,O6=1),1,0))</x:f>
      </x:c>
    </x:row>
    <x:row r="7" ht="25" customHeight="1">
      <x:c r="A7" s="17"/>
      <x:c r="B7" s="17"/>
      <x:c r="C7" s="21"/>
      <x:c r="D7" s="17"/>
      <x:c r="E7" s="18"/>
      <x:c r="F7" s="18"/>
      <x:c r="G7" s="18"/>
      <x:c r="H7" s="18"/>
      <x:c r="I7" s="18"/>
      <x:c r="J7" s="22"/>
      <x:c r="K7" s="18"/>
      <x:c r="L7" s="18"/>
      <x:c r="M7" s="18"/>
      <x:c r="N7" s="18"/>
      <x:c r="O7" s="18"/>
      <x:c r="P7" s="18"/>
      <x:c r="Q7" s="18"/>
      <x:c r="R7" s="18"/>
      <x:c r="S7" s="20"/>
      <x:c r="T7" s="24" t="str">
        <x:f>IF(COUNTA(F7:I7)=0,"",AVERAGE(F7:I7))</x:f>
      </x:c>
      <x:c r="U7" s="25" t="str">
        <x:f>IF(N7="","",IF(N7&gt;=2,1,0))</x:f>
      </x:c>
      <x:c r="V7" s="25" t="str">
        <x:f>IF(P7="","",IF(P7&gt;=4,1,0))</x:f>
      </x:c>
      <x:c r="W7" s="25" t="str">
        <x:f>IF(Q7="","",IF(Q7&gt;=4,1,0))</x:f>
      </x:c>
      <x:c r="X7" s="25" t="str">
        <x:f>IF(A7="","",IF(AND(E7=1,T7&gt;=0.75,K7=1,L7=1,N7&gt;=2,O7=1),1,0))</x:f>
      </x:c>
    </x:row>
    <x:row r="8" ht="25" customHeight="1">
      <x:c r="A8" s="17"/>
      <x:c r="B8" s="17"/>
      <x:c r="C8" s="21"/>
      <x:c r="D8" s="17"/>
      <x:c r="E8" s="18"/>
      <x:c r="F8" s="18"/>
      <x:c r="G8" s="18"/>
      <x:c r="H8" s="18"/>
      <x:c r="I8" s="18"/>
      <x:c r="J8" s="22"/>
      <x:c r="K8" s="18"/>
      <x:c r="L8" s="18"/>
      <x:c r="M8" s="18"/>
      <x:c r="N8" s="18"/>
      <x:c r="O8" s="18"/>
      <x:c r="P8" s="18"/>
      <x:c r="Q8" s="18"/>
      <x:c r="R8" s="18"/>
      <x:c r="S8" s="20"/>
      <x:c r="T8" s="24" t="str">
        <x:f>IF(COUNTA(F8:I8)=0,"",AVERAGE(F8:I8))</x:f>
      </x:c>
      <x:c r="U8" s="25" t="str">
        <x:f>IF(N8="","",IF(N8&gt;=2,1,0))</x:f>
      </x:c>
      <x:c r="V8" s="25" t="str">
        <x:f>IF(P8="","",IF(P8&gt;=4,1,0))</x:f>
      </x:c>
      <x:c r="W8" s="25" t="str">
        <x:f>IF(Q8="","",IF(Q8&gt;=4,1,0))</x:f>
      </x:c>
      <x:c r="X8" s="25" t="str">
        <x:f>IF(A8="","",IF(AND(E8=1,T8&gt;=0.75,K8=1,L8=1,N8&gt;=2,O8=1),1,0))</x:f>
      </x:c>
    </x:row>
    <x:row r="9" ht="25" customHeight="1">
      <x:c r="A9" s="17"/>
      <x:c r="B9" s="17"/>
      <x:c r="C9" s="21"/>
      <x:c r="D9" s="17"/>
      <x:c r="E9" s="18"/>
      <x:c r="F9" s="18"/>
      <x:c r="G9" s="18"/>
      <x:c r="H9" s="18"/>
      <x:c r="I9" s="18"/>
      <x:c r="J9" s="22"/>
      <x:c r="K9" s="18"/>
      <x:c r="L9" s="18"/>
      <x:c r="M9" s="18"/>
      <x:c r="N9" s="18"/>
      <x:c r="O9" s="18"/>
      <x:c r="P9" s="18"/>
      <x:c r="Q9" s="18"/>
      <x:c r="R9" s="18"/>
      <x:c r="S9" s="20"/>
      <x:c r="T9" s="24" t="str">
        <x:f>IF(COUNTA(F9:I9)=0,"",AVERAGE(F9:I9))</x:f>
      </x:c>
      <x:c r="U9" s="25" t="str">
        <x:f>IF(N9="","",IF(N9&gt;=2,1,0))</x:f>
      </x:c>
      <x:c r="V9" s="25" t="str">
        <x:f>IF(P9="","",IF(P9&gt;=4,1,0))</x:f>
      </x:c>
      <x:c r="W9" s="25" t="str">
        <x:f>IF(Q9="","",IF(Q9&gt;=4,1,0))</x:f>
      </x:c>
      <x:c r="X9" s="25" t="str">
        <x:f>IF(A9="","",IF(AND(E9=1,T9&gt;=0.75,K9=1,L9=1,N9&gt;=2,O9=1),1,0))</x:f>
      </x:c>
    </x:row>
    <x:row r="10" ht="25" customHeight="1">
      <x:c r="A10" s="17"/>
      <x:c r="B10" s="17"/>
      <x:c r="C10" s="21"/>
      <x:c r="D10" s="17"/>
      <x:c r="E10" s="18"/>
      <x:c r="F10" s="18"/>
      <x:c r="G10" s="18"/>
      <x:c r="H10" s="18"/>
      <x:c r="I10" s="18"/>
      <x:c r="J10" s="22"/>
      <x:c r="K10" s="18"/>
      <x:c r="L10" s="18"/>
      <x:c r="M10" s="18"/>
      <x:c r="N10" s="18"/>
      <x:c r="O10" s="18"/>
      <x:c r="P10" s="18"/>
      <x:c r="Q10" s="18"/>
      <x:c r="R10" s="18"/>
      <x:c r="S10" s="20"/>
      <x:c r="T10" s="24" t="str">
        <x:f>IF(COUNTA(F10:I10)=0,"",AVERAGE(F10:I10))</x:f>
      </x:c>
      <x:c r="U10" s="25" t="str">
        <x:f>IF(N10="","",IF(N10&gt;=2,1,0))</x:f>
      </x:c>
      <x:c r="V10" s="25" t="str">
        <x:f>IF(P10="","",IF(P10&gt;=4,1,0))</x:f>
      </x:c>
      <x:c r="W10" s="25" t="str">
        <x:f>IF(Q10="","",IF(Q10&gt;=4,1,0))</x:f>
      </x:c>
      <x:c r="X10" s="25" t="str">
        <x:f>IF(A10="","",IF(AND(E10=1,T10&gt;=0.75,K10=1,L10=1,N10&gt;=2,O10=1),1,0))</x:f>
      </x:c>
    </x:row>
    <x:row r="11" ht="25" customHeight="1">
      <x:c r="A11" s="17"/>
      <x:c r="B11" s="17"/>
      <x:c r="C11" s="21"/>
      <x:c r="D11" s="17"/>
      <x:c r="E11" s="18"/>
      <x:c r="F11" s="18"/>
      <x:c r="G11" s="18"/>
      <x:c r="H11" s="18"/>
      <x:c r="I11" s="18"/>
      <x:c r="J11" s="22"/>
      <x:c r="K11" s="18"/>
      <x:c r="L11" s="18"/>
      <x:c r="M11" s="18"/>
      <x:c r="N11" s="18"/>
      <x:c r="O11" s="18"/>
      <x:c r="P11" s="18"/>
      <x:c r="Q11" s="18"/>
      <x:c r="R11" s="18"/>
      <x:c r="S11" s="20"/>
      <x:c r="T11" s="24" t="str">
        <x:f>IF(COUNTA(F11:I11)=0,"",AVERAGE(F11:I11))</x:f>
      </x:c>
      <x:c r="U11" s="25" t="str">
        <x:f>IF(N11="","",IF(N11&gt;=2,1,0))</x:f>
      </x:c>
      <x:c r="V11" s="25" t="str">
        <x:f>IF(P11="","",IF(P11&gt;=4,1,0))</x:f>
      </x:c>
      <x:c r="W11" s="25" t="str">
        <x:f>IF(Q11="","",IF(Q11&gt;=4,1,0))</x:f>
      </x:c>
      <x:c r="X11" s="25" t="str">
        <x:f>IF(A11="","",IF(AND(E11=1,T11&gt;=0.75,K11=1,L11=1,N11&gt;=2,O11=1),1,0))</x:f>
      </x:c>
    </x:row>
    <x:row r="12" ht="25" customHeight="1">
      <x:c r="A12" s="17"/>
      <x:c r="B12" s="17"/>
      <x:c r="C12" s="21"/>
      <x:c r="D12" s="17"/>
      <x:c r="E12" s="18"/>
      <x:c r="F12" s="18"/>
      <x:c r="G12" s="18"/>
      <x:c r="H12" s="18"/>
      <x:c r="I12" s="18"/>
      <x:c r="J12" s="22"/>
      <x:c r="K12" s="18"/>
      <x:c r="L12" s="18"/>
      <x:c r="M12" s="18"/>
      <x:c r="N12" s="18"/>
      <x:c r="O12" s="18"/>
      <x:c r="P12" s="18"/>
      <x:c r="Q12" s="18"/>
      <x:c r="R12" s="18"/>
      <x:c r="S12" s="20"/>
      <x:c r="T12" s="24" t="str">
        <x:f>IF(COUNTA(F12:I12)=0,"",AVERAGE(F12:I12))</x:f>
      </x:c>
      <x:c r="U12" s="25" t="str">
        <x:f>IF(N12="","",IF(N12&gt;=2,1,0))</x:f>
      </x:c>
      <x:c r="V12" s="25" t="str">
        <x:f>IF(P12="","",IF(P12&gt;=4,1,0))</x:f>
      </x:c>
      <x:c r="W12" s="25" t="str">
        <x:f>IF(Q12="","",IF(Q12&gt;=4,1,0))</x:f>
      </x:c>
      <x:c r="X12" s="25" t="str">
        <x:f>IF(A12="","",IF(AND(E12=1,T12&gt;=0.75,K12=1,L12=1,N12&gt;=2,O12=1),1,0))</x:f>
      </x:c>
    </x:row>
    <x:row r="13" ht="25" customHeight="1">
      <x:c r="A13" s="17"/>
      <x:c r="B13" s="17"/>
      <x:c r="C13" s="21"/>
      <x:c r="D13" s="17"/>
      <x:c r="E13" s="18"/>
      <x:c r="F13" s="18"/>
      <x:c r="G13" s="18"/>
      <x:c r="H13" s="18"/>
      <x:c r="I13" s="18"/>
      <x:c r="J13" s="22"/>
      <x:c r="K13" s="18"/>
      <x:c r="L13" s="18"/>
      <x:c r="M13" s="18"/>
      <x:c r="N13" s="18"/>
      <x:c r="O13" s="18"/>
      <x:c r="P13" s="18"/>
      <x:c r="Q13" s="18"/>
      <x:c r="R13" s="18"/>
      <x:c r="S13" s="20"/>
      <x:c r="T13" s="24" t="str">
        <x:f>IF(COUNTA(F13:I13)=0,"",AVERAGE(F13:I13))</x:f>
      </x:c>
      <x:c r="U13" s="25" t="str">
        <x:f>IF(N13="","",IF(N13&gt;=2,1,0))</x:f>
      </x:c>
      <x:c r="V13" s="25" t="str">
        <x:f>IF(P13="","",IF(P13&gt;=4,1,0))</x:f>
      </x:c>
      <x:c r="W13" s="25" t="str">
        <x:f>IF(Q13="","",IF(Q13&gt;=4,1,0))</x:f>
      </x:c>
      <x:c r="X13" s="25" t="str">
        <x:f>IF(A13="","",IF(AND(E13=1,T13&gt;=0.75,K13=1,L13=1,N13&gt;=2,O13=1),1,0))</x:f>
      </x:c>
    </x:row>
    <x:row r="14" ht="25" customHeight="1">
      <x:c r="A14" s="17"/>
      <x:c r="B14" s="17"/>
      <x:c r="C14" s="21"/>
      <x:c r="D14" s="17"/>
      <x:c r="E14" s="18"/>
      <x:c r="F14" s="18"/>
      <x:c r="G14" s="18"/>
      <x:c r="H14" s="18"/>
      <x:c r="I14" s="18"/>
      <x:c r="J14" s="22"/>
      <x:c r="K14" s="18"/>
      <x:c r="L14" s="18"/>
      <x:c r="M14" s="18"/>
      <x:c r="N14" s="18"/>
      <x:c r="O14" s="18"/>
      <x:c r="P14" s="18"/>
      <x:c r="Q14" s="18"/>
      <x:c r="R14" s="18"/>
      <x:c r="S14" s="20"/>
      <x:c r="T14" s="24" t="str">
        <x:f>IF(COUNTA(F14:I14)=0,"",AVERAGE(F14:I14))</x:f>
      </x:c>
      <x:c r="U14" s="25" t="str">
        <x:f>IF(N14="","",IF(N14&gt;=2,1,0))</x:f>
      </x:c>
      <x:c r="V14" s="25" t="str">
        <x:f>IF(P14="","",IF(P14&gt;=4,1,0))</x:f>
      </x:c>
      <x:c r="W14" s="25" t="str">
        <x:f>IF(Q14="","",IF(Q14&gt;=4,1,0))</x:f>
      </x:c>
      <x:c r="X14" s="25" t="str">
        <x:f>IF(A14="","",IF(AND(E14=1,T14&gt;=0.75,K14=1,L14=1,N14&gt;=2,O14=1),1,0))</x:f>
      </x:c>
    </x:row>
    <x:row r="15" ht="25" customHeight="1">
      <x:c r="A15" s="17"/>
      <x:c r="B15" s="17"/>
      <x:c r="C15" s="21"/>
      <x:c r="D15" s="17"/>
      <x:c r="E15" s="18"/>
      <x:c r="F15" s="18"/>
      <x:c r="G15" s="18"/>
      <x:c r="H15" s="18"/>
      <x:c r="I15" s="18"/>
      <x:c r="J15" s="22"/>
      <x:c r="K15" s="18"/>
      <x:c r="L15" s="18"/>
      <x:c r="M15" s="18"/>
      <x:c r="N15" s="18"/>
      <x:c r="O15" s="18"/>
      <x:c r="P15" s="18"/>
      <x:c r="Q15" s="18"/>
      <x:c r="R15" s="18"/>
      <x:c r="S15" s="20"/>
      <x:c r="T15" s="24" t="str">
        <x:f>IF(COUNTA(F15:I15)=0,"",AVERAGE(F15:I15))</x:f>
      </x:c>
      <x:c r="U15" s="25" t="str">
        <x:f>IF(N15="","",IF(N15&gt;=2,1,0))</x:f>
      </x:c>
      <x:c r="V15" s="25" t="str">
        <x:f>IF(P15="","",IF(P15&gt;=4,1,0))</x:f>
      </x:c>
      <x:c r="W15" s="25" t="str">
        <x:f>IF(Q15="","",IF(Q15&gt;=4,1,0))</x:f>
      </x:c>
      <x:c r="X15" s="25" t="str">
        <x:f>IF(A15="","",IF(AND(E15=1,T15&gt;=0.75,K15=1,L15=1,N15&gt;=2,O15=1),1,0))</x:f>
      </x:c>
    </x:row>
    <x:row r="16" ht="25" customHeight="1">
      <x:c r="A16" s="17"/>
      <x:c r="B16" s="17"/>
      <x:c r="C16" s="21"/>
      <x:c r="D16" s="17"/>
      <x:c r="E16" s="18"/>
      <x:c r="F16" s="18"/>
      <x:c r="G16" s="18"/>
      <x:c r="H16" s="18"/>
      <x:c r="I16" s="18"/>
      <x:c r="J16" s="22"/>
      <x:c r="K16" s="18"/>
      <x:c r="L16" s="18"/>
      <x:c r="M16" s="18"/>
      <x:c r="N16" s="18"/>
      <x:c r="O16" s="18"/>
      <x:c r="P16" s="18"/>
      <x:c r="Q16" s="18"/>
      <x:c r="R16" s="18"/>
      <x:c r="S16" s="20"/>
      <x:c r="T16" s="24" t="str">
        <x:f>IF(COUNTA(F16:I16)=0,"",AVERAGE(F16:I16))</x:f>
      </x:c>
      <x:c r="U16" s="25" t="str">
        <x:f>IF(N16="","",IF(N16&gt;=2,1,0))</x:f>
      </x:c>
      <x:c r="V16" s="25" t="str">
        <x:f>IF(P16="","",IF(P16&gt;=4,1,0))</x:f>
      </x:c>
      <x:c r="W16" s="25" t="str">
        <x:f>IF(Q16="","",IF(Q16&gt;=4,1,0))</x:f>
      </x:c>
      <x:c r="X16" s="25" t="str">
        <x:f>IF(A16="","",IF(AND(E16=1,T16&gt;=0.75,K16=1,L16=1,N16&gt;=2,O16=1),1,0))</x:f>
      </x:c>
    </x:row>
    <x:row r="17" ht="25" customHeight="1">
      <x:c r="A17" s="17"/>
      <x:c r="B17" s="17"/>
      <x:c r="C17" s="21"/>
      <x:c r="D17" s="17"/>
      <x:c r="E17" s="18"/>
      <x:c r="F17" s="18"/>
      <x:c r="G17" s="18"/>
      <x:c r="H17" s="18"/>
      <x:c r="I17" s="18"/>
      <x:c r="J17" s="22"/>
      <x:c r="K17" s="18"/>
      <x:c r="L17" s="18"/>
      <x:c r="M17" s="18"/>
      <x:c r="N17" s="18"/>
      <x:c r="O17" s="18"/>
      <x:c r="P17" s="18"/>
      <x:c r="Q17" s="18"/>
      <x:c r="R17" s="18"/>
      <x:c r="S17" s="20"/>
      <x:c r="T17" s="24" t="str">
        <x:f>IF(COUNTA(F17:I17)=0,"",AVERAGE(F17:I17))</x:f>
      </x:c>
      <x:c r="U17" s="25" t="str">
        <x:f>IF(N17="","",IF(N17&gt;=2,1,0))</x:f>
      </x:c>
      <x:c r="V17" s="25" t="str">
        <x:f>IF(P17="","",IF(P17&gt;=4,1,0))</x:f>
      </x:c>
      <x:c r="W17" s="25" t="str">
        <x:f>IF(Q17="","",IF(Q17&gt;=4,1,0))</x:f>
      </x:c>
      <x:c r="X17" s="25" t="str">
        <x:f>IF(A17="","",IF(AND(E17=1,T17&gt;=0.75,K17=1,L17=1,N17&gt;=2,O17=1),1,0))</x:f>
      </x:c>
    </x:row>
    <x:row r="18" ht="25" customHeight="1">
      <x:c r="A18" s="17"/>
      <x:c r="B18" s="17"/>
      <x:c r="C18" s="21"/>
      <x:c r="D18" s="17"/>
      <x:c r="E18" s="18"/>
      <x:c r="F18" s="18"/>
      <x:c r="G18" s="18"/>
      <x:c r="H18" s="18"/>
      <x:c r="I18" s="18"/>
      <x:c r="J18" s="22"/>
      <x:c r="K18" s="18"/>
      <x:c r="L18" s="18"/>
      <x:c r="M18" s="18"/>
      <x:c r="N18" s="18"/>
      <x:c r="O18" s="18"/>
      <x:c r="P18" s="18"/>
      <x:c r="Q18" s="18"/>
      <x:c r="R18" s="18"/>
      <x:c r="S18" s="20"/>
      <x:c r="T18" s="24" t="str">
        <x:f>IF(COUNTA(F18:I18)=0,"",AVERAGE(F18:I18))</x:f>
      </x:c>
      <x:c r="U18" s="25" t="str">
        <x:f>IF(N18="","",IF(N18&gt;=2,1,0))</x:f>
      </x:c>
      <x:c r="V18" s="25" t="str">
        <x:f>IF(P18="","",IF(P18&gt;=4,1,0))</x:f>
      </x:c>
      <x:c r="W18" s="25" t="str">
        <x:f>IF(Q18="","",IF(Q18&gt;=4,1,0))</x:f>
      </x:c>
      <x:c r="X18" s="25" t="str">
        <x:f>IF(A18="","",IF(AND(E18=1,T18&gt;=0.75,K18=1,L18=1,N18&gt;=2,O18=1),1,0))</x:f>
      </x:c>
    </x:row>
    <x:row r="19" ht="25" customHeight="1">
      <x:c r="A19" s="17"/>
      <x:c r="B19" s="17"/>
      <x:c r="C19" s="21"/>
      <x:c r="D19" s="17"/>
      <x:c r="E19" s="18"/>
      <x:c r="F19" s="18"/>
      <x:c r="G19" s="18"/>
      <x:c r="H19" s="18"/>
      <x:c r="I19" s="18"/>
      <x:c r="J19" s="22"/>
      <x:c r="K19" s="18"/>
      <x:c r="L19" s="18"/>
      <x:c r="M19" s="18"/>
      <x:c r="N19" s="18"/>
      <x:c r="O19" s="18"/>
      <x:c r="P19" s="18"/>
      <x:c r="Q19" s="18"/>
      <x:c r="R19" s="18"/>
      <x:c r="S19" s="20"/>
      <x:c r="T19" s="24" t="str">
        <x:f>IF(COUNTA(F19:I19)=0,"",AVERAGE(F19:I19))</x:f>
      </x:c>
      <x:c r="U19" s="25" t="str">
        <x:f>IF(N19="","",IF(N19&gt;=2,1,0))</x:f>
      </x:c>
      <x:c r="V19" s="25" t="str">
        <x:f>IF(P19="","",IF(P19&gt;=4,1,0))</x:f>
      </x:c>
      <x:c r="W19" s="25" t="str">
        <x:f>IF(Q19="","",IF(Q19&gt;=4,1,0))</x:f>
      </x:c>
      <x:c r="X19" s="25" t="str">
        <x:f>IF(A19="","",IF(AND(E19=1,T19&gt;=0.75,K19=1,L19=1,N19&gt;=2,O19=1),1,0))</x:f>
      </x:c>
    </x:row>
    <x:row r="20" ht="25" customHeight="1">
      <x:c r="A20" s="17"/>
      <x:c r="B20" s="17"/>
      <x:c r="C20" s="21"/>
      <x:c r="D20" s="17"/>
      <x:c r="E20" s="18"/>
      <x:c r="F20" s="18"/>
      <x:c r="G20" s="18"/>
      <x:c r="H20" s="18"/>
      <x:c r="I20" s="18"/>
      <x:c r="J20" s="22"/>
      <x:c r="K20" s="18"/>
      <x:c r="L20" s="18"/>
      <x:c r="M20" s="18"/>
      <x:c r="N20" s="18"/>
      <x:c r="O20" s="18"/>
      <x:c r="P20" s="18"/>
      <x:c r="Q20" s="18"/>
      <x:c r="R20" s="18"/>
      <x:c r="S20" s="20"/>
      <x:c r="T20" s="24" t="str">
        <x:f>IF(COUNTA(F20:I20)=0,"",AVERAGE(F20:I20))</x:f>
      </x:c>
      <x:c r="U20" s="25" t="str">
        <x:f>IF(N20="","",IF(N20&gt;=2,1,0))</x:f>
      </x:c>
      <x:c r="V20" s="25" t="str">
        <x:f>IF(P20="","",IF(P20&gt;=4,1,0))</x:f>
      </x:c>
      <x:c r="W20" s="25" t="str">
        <x:f>IF(Q20="","",IF(Q20&gt;=4,1,0))</x:f>
      </x:c>
      <x:c r="X20" s="25" t="str">
        <x:f>IF(A20="","",IF(AND(E20=1,T20&gt;=0.75,K20=1,L20=1,N20&gt;=2,O20=1),1,0))</x:f>
      </x:c>
    </x:row>
    <x:row r="21" ht="25" customHeight="1">
      <x:c r="A21" s="17"/>
      <x:c r="B21" s="17"/>
      <x:c r="C21" s="21"/>
      <x:c r="D21" s="17"/>
      <x:c r="E21" s="18"/>
      <x:c r="F21" s="18"/>
      <x:c r="G21" s="18"/>
      <x:c r="H21" s="18"/>
      <x:c r="I21" s="18"/>
      <x:c r="J21" s="22"/>
      <x:c r="K21" s="18"/>
      <x:c r="L21" s="18"/>
      <x:c r="M21" s="18"/>
      <x:c r="N21" s="18"/>
      <x:c r="O21" s="18"/>
      <x:c r="P21" s="18"/>
      <x:c r="Q21" s="18"/>
      <x:c r="R21" s="18"/>
      <x:c r="S21" s="20"/>
      <x:c r="T21" s="24" t="str">
        <x:f>IF(COUNTA(F21:I21)=0,"",AVERAGE(F21:I21))</x:f>
      </x:c>
      <x:c r="U21" s="25" t="str">
        <x:f>IF(N21="","",IF(N21&gt;=2,1,0))</x:f>
      </x:c>
      <x:c r="V21" s="25" t="str">
        <x:f>IF(P21="","",IF(P21&gt;=4,1,0))</x:f>
      </x:c>
      <x:c r="W21" s="25" t="str">
        <x:f>IF(Q21="","",IF(Q21&gt;=4,1,0))</x:f>
      </x:c>
      <x:c r="X21" s="25" t="str">
        <x:f>IF(A21="","",IF(AND(E21=1,T21&gt;=0.75,K21=1,L21=1,N21&gt;=2,O21=1),1,0))</x:f>
      </x:c>
    </x:row>
    <x:row r="22" ht="25" customHeight="1">
      <x:c r="A22" s="17"/>
      <x:c r="B22" s="17"/>
      <x:c r="C22" s="21"/>
      <x:c r="D22" s="17"/>
      <x:c r="E22" s="18"/>
      <x:c r="F22" s="18"/>
      <x:c r="G22" s="18"/>
      <x:c r="H22" s="18"/>
      <x:c r="I22" s="18"/>
      <x:c r="J22" s="22"/>
      <x:c r="K22" s="18"/>
      <x:c r="L22" s="18"/>
      <x:c r="M22" s="18"/>
      <x:c r="N22" s="18"/>
      <x:c r="O22" s="18"/>
      <x:c r="P22" s="18"/>
      <x:c r="Q22" s="18"/>
      <x:c r="R22" s="18"/>
      <x:c r="S22" s="20"/>
      <x:c r="T22" s="24" t="str">
        <x:f>IF(COUNTA(F22:I22)=0,"",AVERAGE(F22:I22))</x:f>
      </x:c>
      <x:c r="U22" s="25" t="str">
        <x:f>IF(N22="","",IF(N22&gt;=2,1,0))</x:f>
      </x:c>
      <x:c r="V22" s="25" t="str">
        <x:f>IF(P22="","",IF(P22&gt;=4,1,0))</x:f>
      </x:c>
      <x:c r="W22" s="25" t="str">
        <x:f>IF(Q22="","",IF(Q22&gt;=4,1,0))</x:f>
      </x:c>
      <x:c r="X22" s="25" t="str">
        <x:f>IF(A22="","",IF(AND(E22=1,T22&gt;=0.75,K22=1,L22=1,N22&gt;=2,O22=1),1,0))</x:f>
      </x:c>
    </x:row>
    <x:row r="23" ht="25" customHeight="1">
      <x:c r="A23" s="17"/>
      <x:c r="B23" s="17"/>
      <x:c r="C23" s="21"/>
      <x:c r="D23" s="17"/>
      <x:c r="E23" s="18"/>
      <x:c r="F23" s="18"/>
      <x:c r="G23" s="18"/>
      <x:c r="H23" s="18"/>
      <x:c r="I23" s="18"/>
      <x:c r="J23" s="22"/>
      <x:c r="K23" s="18"/>
      <x:c r="L23" s="18"/>
      <x:c r="M23" s="18"/>
      <x:c r="N23" s="18"/>
      <x:c r="O23" s="18"/>
      <x:c r="P23" s="18"/>
      <x:c r="Q23" s="18"/>
      <x:c r="R23" s="18"/>
      <x:c r="S23" s="20"/>
      <x:c r="T23" s="24" t="str">
        <x:f>IF(COUNTA(F23:I23)=0,"",AVERAGE(F23:I23))</x:f>
      </x:c>
      <x:c r="U23" s="25" t="str">
        <x:f>IF(N23="","",IF(N23&gt;=2,1,0))</x:f>
      </x:c>
      <x:c r="V23" s="25" t="str">
        <x:f>IF(P23="","",IF(P23&gt;=4,1,0))</x:f>
      </x:c>
      <x:c r="W23" s="25" t="str">
        <x:f>IF(Q23="","",IF(Q23&gt;=4,1,0))</x:f>
      </x:c>
      <x:c r="X23" s="25" t="str">
        <x:f>IF(A23="","",IF(AND(E23=1,T23&gt;=0.75,K23=1,L23=1,N23&gt;=2,O23=1),1,0))</x:f>
      </x:c>
    </x:row>
    <x:row r="24" ht="25" customHeight="1">
      <x:c r="A24" s="17"/>
      <x:c r="B24" s="17"/>
      <x:c r="C24" s="21"/>
      <x:c r="D24" s="17"/>
      <x:c r="E24" s="18"/>
      <x:c r="F24" s="18"/>
      <x:c r="G24" s="18"/>
      <x:c r="H24" s="18"/>
      <x:c r="I24" s="18"/>
      <x:c r="J24" s="22"/>
      <x:c r="K24" s="18"/>
      <x:c r="L24" s="18"/>
      <x:c r="M24" s="18"/>
      <x:c r="N24" s="18"/>
      <x:c r="O24" s="18"/>
      <x:c r="P24" s="18"/>
      <x:c r="Q24" s="18"/>
      <x:c r="R24" s="18"/>
      <x:c r="S24" s="20"/>
      <x:c r="T24" s="24" t="str">
        <x:f>IF(COUNTA(F24:I24)=0,"",AVERAGE(F24:I24))</x:f>
      </x:c>
      <x:c r="U24" s="25" t="str">
        <x:f>IF(N24="","",IF(N24&gt;=2,1,0))</x:f>
      </x:c>
      <x:c r="V24" s="25" t="str">
        <x:f>IF(P24="","",IF(P24&gt;=4,1,0))</x:f>
      </x:c>
      <x:c r="W24" s="25" t="str">
        <x:f>IF(Q24="","",IF(Q24&gt;=4,1,0))</x:f>
      </x:c>
      <x:c r="X24" s="25" t="str">
        <x:f>IF(A24="","",IF(AND(E24=1,T24&gt;=0.75,K24=1,L24=1,N24&gt;=2,O24=1),1,0))</x:f>
      </x:c>
    </x:row>
    <x:row r="25" ht="25" customHeight="1">
      <x:c r="A25" s="17"/>
      <x:c r="B25" s="17"/>
      <x:c r="C25" s="21"/>
      <x:c r="D25" s="17"/>
      <x:c r="E25" s="18"/>
      <x:c r="F25" s="18"/>
      <x:c r="G25" s="18"/>
      <x:c r="H25" s="18"/>
      <x:c r="I25" s="18"/>
      <x:c r="J25" s="22"/>
      <x:c r="K25" s="18"/>
      <x:c r="L25" s="18"/>
      <x:c r="M25" s="18"/>
      <x:c r="N25" s="18"/>
      <x:c r="O25" s="18"/>
      <x:c r="P25" s="18"/>
      <x:c r="Q25" s="18"/>
      <x:c r="R25" s="18"/>
      <x:c r="S25" s="20"/>
      <x:c r="T25" s="24" t="str">
        <x:f>IF(COUNTA(F25:I25)=0,"",AVERAGE(F25:I25))</x:f>
      </x:c>
      <x:c r="U25" s="25" t="str">
        <x:f>IF(N25="","",IF(N25&gt;=2,1,0))</x:f>
      </x:c>
      <x:c r="V25" s="25" t="str">
        <x:f>IF(P25="","",IF(P25&gt;=4,1,0))</x:f>
      </x:c>
      <x:c r="W25" s="25" t="str">
        <x:f>IF(Q25="","",IF(Q25&gt;=4,1,0))</x:f>
      </x:c>
      <x:c r="X25" s="25" t="str">
        <x:f>IF(A25="","",IF(AND(E25=1,T25&gt;=0.75,K25=1,L25=1,N25&gt;=2,O25=1),1,0))</x:f>
      </x:c>
    </x:row>
    <x:row r="26" ht="25" customHeight="1">
      <x:c r="A26" s="17"/>
      <x:c r="B26" s="17"/>
      <x:c r="C26" s="21"/>
      <x:c r="D26" s="17"/>
      <x:c r="E26" s="18"/>
      <x:c r="F26" s="18"/>
      <x:c r="G26" s="18"/>
      <x:c r="H26" s="18"/>
      <x:c r="I26" s="18"/>
      <x:c r="J26" s="22"/>
      <x:c r="K26" s="18"/>
      <x:c r="L26" s="18"/>
      <x:c r="M26" s="18"/>
      <x:c r="N26" s="18"/>
      <x:c r="O26" s="18"/>
      <x:c r="P26" s="18"/>
      <x:c r="Q26" s="18"/>
      <x:c r="R26" s="18"/>
      <x:c r="S26" s="20"/>
      <x:c r="T26" s="24" t="str">
        <x:f>IF(COUNTA(F26:I26)=0,"",AVERAGE(F26:I26))</x:f>
      </x:c>
      <x:c r="U26" s="25" t="str">
        <x:f>IF(N26="","",IF(N26&gt;=2,1,0))</x:f>
      </x:c>
      <x:c r="V26" s="25" t="str">
        <x:f>IF(P26="","",IF(P26&gt;=4,1,0))</x:f>
      </x:c>
      <x:c r="W26" s="25" t="str">
        <x:f>IF(Q26="","",IF(Q26&gt;=4,1,0))</x:f>
      </x:c>
      <x:c r="X26" s="25" t="str">
        <x:f>IF(A26="","",IF(AND(E26=1,T26&gt;=0.75,K26=1,L26=1,N26&gt;=2,O26=1),1,0))</x:f>
      </x:c>
    </x:row>
    <x:row r="27" ht="25" customHeight="1">
      <x:c r="A27" s="17"/>
      <x:c r="B27" s="17"/>
      <x:c r="C27" s="21"/>
      <x:c r="D27" s="17"/>
      <x:c r="E27" s="18"/>
      <x:c r="F27" s="18"/>
      <x:c r="G27" s="18"/>
      <x:c r="H27" s="18"/>
      <x:c r="I27" s="18"/>
      <x:c r="J27" s="22"/>
      <x:c r="K27" s="18"/>
      <x:c r="L27" s="18"/>
      <x:c r="M27" s="18"/>
      <x:c r="N27" s="18"/>
      <x:c r="O27" s="18"/>
      <x:c r="P27" s="18"/>
      <x:c r="Q27" s="18"/>
      <x:c r="R27" s="18"/>
      <x:c r="S27" s="20"/>
      <x:c r="T27" s="24" t="str">
        <x:f>IF(COUNTA(F27:I27)=0,"",AVERAGE(F27:I27))</x:f>
      </x:c>
      <x:c r="U27" s="25" t="str">
        <x:f>IF(N27="","",IF(N27&gt;=2,1,0))</x:f>
      </x:c>
      <x:c r="V27" s="25" t="str">
        <x:f>IF(P27="","",IF(P27&gt;=4,1,0))</x:f>
      </x:c>
      <x:c r="W27" s="25" t="str">
        <x:f>IF(Q27="","",IF(Q27&gt;=4,1,0))</x:f>
      </x:c>
      <x:c r="X27" s="25" t="str">
        <x:f>IF(A27="","",IF(AND(E27=1,T27&gt;=0.75,K27=1,L27=1,N27&gt;=2,O27=1),1,0))</x:f>
      </x:c>
    </x:row>
    <x:row r="28" ht="25" customHeight="1">
      <x:c r="A28" s="17"/>
      <x:c r="B28" s="17"/>
      <x:c r="C28" s="21"/>
      <x:c r="D28" s="17"/>
      <x:c r="E28" s="18"/>
      <x:c r="F28" s="18"/>
      <x:c r="G28" s="18"/>
      <x:c r="H28" s="18"/>
      <x:c r="I28" s="18"/>
      <x:c r="J28" s="22"/>
      <x:c r="K28" s="18"/>
      <x:c r="L28" s="18"/>
      <x:c r="M28" s="18"/>
      <x:c r="N28" s="18"/>
      <x:c r="O28" s="18"/>
      <x:c r="P28" s="18"/>
      <x:c r="Q28" s="18"/>
      <x:c r="R28" s="18"/>
      <x:c r="S28" s="20"/>
      <x:c r="T28" s="24" t="str">
        <x:f>IF(COUNTA(F28:I28)=0,"",AVERAGE(F28:I28))</x:f>
      </x:c>
      <x:c r="U28" s="25" t="str">
        <x:f>IF(N28="","",IF(N28&gt;=2,1,0))</x:f>
      </x:c>
      <x:c r="V28" s="25" t="str">
        <x:f>IF(P28="","",IF(P28&gt;=4,1,0))</x:f>
      </x:c>
      <x:c r="W28" s="25" t="str">
        <x:f>IF(Q28="","",IF(Q28&gt;=4,1,0))</x:f>
      </x:c>
      <x:c r="X28" s="25" t="str">
        <x:f>IF(A28="","",IF(AND(E28=1,T28&gt;=0.75,K28=1,L28=1,N28&gt;=2,O28=1),1,0))</x:f>
      </x:c>
    </x:row>
    <x:row r="29" ht="25" customHeight="1">
      <x:c r="A29" s="17"/>
      <x:c r="B29" s="17"/>
      <x:c r="C29" s="21"/>
      <x:c r="D29" s="17"/>
      <x:c r="E29" s="18"/>
      <x:c r="F29" s="18"/>
      <x:c r="G29" s="18"/>
      <x:c r="H29" s="18"/>
      <x:c r="I29" s="18"/>
      <x:c r="J29" s="22"/>
      <x:c r="K29" s="18"/>
      <x:c r="L29" s="18"/>
      <x:c r="M29" s="18"/>
      <x:c r="N29" s="18"/>
      <x:c r="O29" s="18"/>
      <x:c r="P29" s="18"/>
      <x:c r="Q29" s="18"/>
      <x:c r="R29" s="18"/>
      <x:c r="S29" s="20"/>
      <x:c r="T29" s="24" t="str">
        <x:f>IF(COUNTA(F29:I29)=0,"",AVERAGE(F29:I29))</x:f>
      </x:c>
      <x:c r="U29" s="25" t="str">
        <x:f>IF(N29="","",IF(N29&gt;=2,1,0))</x:f>
      </x:c>
      <x:c r="V29" s="25" t="str">
        <x:f>IF(P29="","",IF(P29&gt;=4,1,0))</x:f>
      </x:c>
      <x:c r="W29" s="25" t="str">
        <x:f>IF(Q29="","",IF(Q29&gt;=4,1,0))</x:f>
      </x:c>
      <x:c r="X29" s="25" t="str">
        <x:f>IF(A29="","",IF(AND(E29=1,T29&gt;=0.75,K29=1,L29=1,N29&gt;=2,O29=1),1,0))</x:f>
      </x:c>
    </x:row>
    <x:row r="30" ht="25" customHeight="1">
      <x:c r="A30" s="17"/>
      <x:c r="B30" s="17"/>
      <x:c r="C30" s="21"/>
      <x:c r="D30" s="17"/>
      <x:c r="E30" s="18"/>
      <x:c r="F30" s="18"/>
      <x:c r="G30" s="18"/>
      <x:c r="H30" s="18"/>
      <x:c r="I30" s="18"/>
      <x:c r="J30" s="22"/>
      <x:c r="K30" s="18"/>
      <x:c r="L30" s="18"/>
      <x:c r="M30" s="18"/>
      <x:c r="N30" s="18"/>
      <x:c r="O30" s="18"/>
      <x:c r="P30" s="18"/>
      <x:c r="Q30" s="18"/>
      <x:c r="R30" s="18"/>
      <x:c r="S30" s="20"/>
      <x:c r="T30" s="24" t="str">
        <x:f>IF(COUNTA(F30:I30)=0,"",AVERAGE(F30:I30))</x:f>
      </x:c>
      <x:c r="U30" s="25" t="str">
        <x:f>IF(N30="","",IF(N30&gt;=2,1,0))</x:f>
      </x:c>
      <x:c r="V30" s="25" t="str">
        <x:f>IF(P30="","",IF(P30&gt;=4,1,0))</x:f>
      </x:c>
      <x:c r="W30" s="25" t="str">
        <x:f>IF(Q30="","",IF(Q30&gt;=4,1,0))</x:f>
      </x:c>
      <x:c r="X30" s="25" t="str">
        <x:f>IF(A30="","",IF(AND(E30=1,T30&gt;=0.75,K30=1,L30=1,N30&gt;=2,O30=1),1,0))</x:f>
      </x:c>
    </x:row>
    <x:row r="31" ht="25" customHeight="1">
      <x:c r="A31" s="17"/>
      <x:c r="B31" s="17"/>
      <x:c r="C31" s="21"/>
      <x:c r="D31" s="17"/>
      <x:c r="E31" s="18"/>
      <x:c r="F31" s="18"/>
      <x:c r="G31" s="18"/>
      <x:c r="H31" s="18"/>
      <x:c r="I31" s="18"/>
      <x:c r="J31" s="22"/>
      <x:c r="K31" s="18"/>
      <x:c r="L31" s="18"/>
      <x:c r="M31" s="18"/>
      <x:c r="N31" s="18"/>
      <x:c r="O31" s="18"/>
      <x:c r="P31" s="18"/>
      <x:c r="Q31" s="18"/>
      <x:c r="R31" s="18"/>
      <x:c r="S31" s="20"/>
      <x:c r="T31" s="24" t="str">
        <x:f>IF(COUNTA(F31:I31)=0,"",AVERAGE(F31:I31))</x:f>
      </x:c>
      <x:c r="U31" s="25" t="str">
        <x:f>IF(N31="","",IF(N31&gt;=2,1,0))</x:f>
      </x:c>
      <x:c r="V31" s="25" t="str">
        <x:f>IF(P31="","",IF(P31&gt;=4,1,0))</x:f>
      </x:c>
      <x:c r="W31" s="25" t="str">
        <x:f>IF(Q31="","",IF(Q31&gt;=4,1,0))</x:f>
      </x:c>
      <x:c r="X31" s="25" t="str">
        <x:f>IF(A31="","",IF(AND(E31=1,T31&gt;=0.75,K31=1,L31=1,N31&gt;=2,O31=1),1,0))</x:f>
      </x:c>
    </x:row>
    <x:row r="32" ht="25" customHeight="1">
      <x:c r="A32" s="17"/>
      <x:c r="B32" s="17"/>
      <x:c r="C32" s="21"/>
      <x:c r="D32" s="17"/>
      <x:c r="E32" s="18"/>
      <x:c r="F32" s="18"/>
      <x:c r="G32" s="18"/>
      <x:c r="H32" s="18"/>
      <x:c r="I32" s="18"/>
      <x:c r="J32" s="22"/>
      <x:c r="K32" s="18"/>
      <x:c r="L32" s="18"/>
      <x:c r="M32" s="18"/>
      <x:c r="N32" s="18"/>
      <x:c r="O32" s="18"/>
      <x:c r="P32" s="18"/>
      <x:c r="Q32" s="18"/>
      <x:c r="R32" s="18"/>
      <x:c r="S32" s="20"/>
      <x:c r="T32" s="24" t="str">
        <x:f>IF(COUNTA(F32:I32)=0,"",AVERAGE(F32:I32))</x:f>
      </x:c>
      <x:c r="U32" s="25" t="str">
        <x:f>IF(N32="","",IF(N32&gt;=2,1,0))</x:f>
      </x:c>
      <x:c r="V32" s="25" t="str">
        <x:f>IF(P32="","",IF(P32&gt;=4,1,0))</x:f>
      </x:c>
      <x:c r="W32" s="25" t="str">
        <x:f>IF(Q32="","",IF(Q32&gt;=4,1,0))</x:f>
      </x:c>
      <x:c r="X32" s="25" t="str">
        <x:f>IF(A32="","",IF(AND(E32=1,T32&gt;=0.75,K32=1,L32=1,N32&gt;=2,O32=1),1,0))</x:f>
      </x:c>
    </x:row>
    <x:row r="33" ht="25" customHeight="1">
      <x:c r="A33" s="17"/>
      <x:c r="B33" s="17"/>
      <x:c r="C33" s="21"/>
      <x:c r="D33" s="17"/>
      <x:c r="E33" s="18"/>
      <x:c r="F33" s="18"/>
      <x:c r="G33" s="18"/>
      <x:c r="H33" s="18"/>
      <x:c r="I33" s="18"/>
      <x:c r="J33" s="22"/>
      <x:c r="K33" s="18"/>
      <x:c r="L33" s="18"/>
      <x:c r="M33" s="18"/>
      <x:c r="N33" s="18"/>
      <x:c r="O33" s="18"/>
      <x:c r="P33" s="18"/>
      <x:c r="Q33" s="18"/>
      <x:c r="R33" s="18"/>
      <x:c r="S33" s="20"/>
      <x:c r="T33" s="24" t="str">
        <x:f>IF(COUNTA(F33:I33)=0,"",AVERAGE(F33:I33))</x:f>
      </x:c>
      <x:c r="U33" s="25" t="str">
        <x:f>IF(N33="","",IF(N33&gt;=2,1,0))</x:f>
      </x:c>
      <x:c r="V33" s="25" t="str">
        <x:f>IF(P33="","",IF(P33&gt;=4,1,0))</x:f>
      </x:c>
      <x:c r="W33" s="25" t="str">
        <x:f>IF(Q33="","",IF(Q33&gt;=4,1,0))</x:f>
      </x:c>
      <x:c r="X33" s="25" t="str">
        <x:f>IF(A33="","",IF(AND(E33=1,T33&gt;=0.75,K33=1,L33=1,N33&gt;=2,O33=1),1,0))</x:f>
      </x:c>
    </x:row>
    <x:row r="34" ht="25" customHeight="1">
      <x:c r="A34" s="17"/>
      <x:c r="B34" s="17"/>
      <x:c r="C34" s="21"/>
      <x:c r="D34" s="17"/>
      <x:c r="E34" s="18"/>
      <x:c r="F34" s="18"/>
      <x:c r="G34" s="18"/>
      <x:c r="H34" s="18"/>
      <x:c r="I34" s="18"/>
      <x:c r="J34" s="22"/>
      <x:c r="K34" s="18"/>
      <x:c r="L34" s="18"/>
      <x:c r="M34" s="18"/>
      <x:c r="N34" s="18"/>
      <x:c r="O34" s="18"/>
      <x:c r="P34" s="18"/>
      <x:c r="Q34" s="18"/>
      <x:c r="R34" s="18"/>
      <x:c r="S34" s="20"/>
      <x:c r="T34" s="24" t="str">
        <x:f>IF(COUNTA(F34:I34)=0,"",AVERAGE(F34:I34))</x:f>
      </x:c>
      <x:c r="U34" s="25" t="str">
        <x:f>IF(N34="","",IF(N34&gt;=2,1,0))</x:f>
      </x:c>
      <x:c r="V34" s="25" t="str">
        <x:f>IF(P34="","",IF(P34&gt;=4,1,0))</x:f>
      </x:c>
      <x:c r="W34" s="25" t="str">
        <x:f>IF(Q34="","",IF(Q34&gt;=4,1,0))</x:f>
      </x:c>
      <x:c r="X34" s="25" t="str">
        <x:f>IF(A34="","",IF(AND(E34=1,T34&gt;=0.75,K34=1,L34=1,N34&gt;=2,O34=1),1,0))</x:f>
      </x:c>
    </x:row>
    <x:row r="35" ht="25" customHeight="1">
      <x:c r="A35" s="17"/>
      <x:c r="B35" s="17"/>
      <x:c r="C35" s="21"/>
      <x:c r="D35" s="17"/>
      <x:c r="E35" s="18"/>
      <x:c r="F35" s="18"/>
      <x:c r="G35" s="18"/>
      <x:c r="H35" s="18"/>
      <x:c r="I35" s="18"/>
      <x:c r="J35" s="22"/>
      <x:c r="K35" s="18"/>
      <x:c r="L35" s="18"/>
      <x:c r="M35" s="18"/>
      <x:c r="N35" s="18"/>
      <x:c r="O35" s="18"/>
      <x:c r="P35" s="18"/>
      <x:c r="Q35" s="18"/>
      <x:c r="R35" s="18"/>
      <x:c r="S35" s="20"/>
      <x:c r="T35" s="24" t="str">
        <x:f>IF(COUNTA(F35:I35)=0,"",AVERAGE(F35:I35))</x:f>
      </x:c>
      <x:c r="U35" s="25" t="str">
        <x:f>IF(N35="","",IF(N35&gt;=2,1,0))</x:f>
      </x:c>
      <x:c r="V35" s="25" t="str">
        <x:f>IF(P35="","",IF(P35&gt;=4,1,0))</x:f>
      </x:c>
      <x:c r="W35" s="25" t="str">
        <x:f>IF(Q35="","",IF(Q35&gt;=4,1,0))</x:f>
      </x:c>
      <x:c r="X35" s="25" t="str">
        <x:f>IF(A35="","",IF(AND(E35=1,T35&gt;=0.75,K35=1,L35=1,N35&gt;=2,O35=1),1,0))</x:f>
      </x:c>
    </x:row>
  </x:sheetData>
  <x:mergeCells>
    <x:mergeCell ref="A1:X1"/>
    <x:mergeCell ref="A2:X2"/>
    <x:mergeCell ref="A3:X3"/>
  </x:mergeCells>
  <x:conditionalFormatting sqref="E6:I35">
    <x:cfRule type="cellIs" dxfId="0" priority="1" operator="equal">
      <x:formula>1</x:formula>
    </x:cfRule>
    <x:cfRule type="cellIs" dxfId="1" priority="2" operator="equal">
      <x:formula>0</x:formula>
    </x:cfRule>
  </x:conditionalFormatting>
  <x:conditionalFormatting sqref="K6:L35">
    <x:cfRule type="cellIs" dxfId="2" priority="3" operator="equal">
      <x:formula>1</x:formula>
    </x:cfRule>
    <x:cfRule type="cellIs" dxfId="3" priority="4" operator="equal">
      <x:formula>0</x:formula>
    </x:cfRule>
  </x:conditionalFormatting>
  <x:conditionalFormatting sqref="O6:O35">
    <x:cfRule type="cellIs" dxfId="4" priority="5" operator="equal">
      <x:formula>1</x:formula>
    </x:cfRule>
    <x:cfRule type="cellIs" dxfId="5" priority="6" operator="equal">
      <x:formula>0</x:formula>
    </x:cfRule>
  </x:conditionalFormatting>
  <x:conditionalFormatting sqref="R6:R35">
    <x:cfRule type="cellIs" dxfId="6" priority="7" operator="equal">
      <x:formula>1</x:formula>
    </x:cfRule>
    <x:cfRule type="cellIs" dxfId="7" priority="8" operator="equal">
      <x:formula>0</x:formula>
    </x:cfRule>
  </x:conditionalFormatting>
  <x:conditionalFormatting sqref="U6:X35">
    <x:cfRule type="expression" dxfId="8" priority="9">
      <x:formula>AND(U6&lt;&gt;"",U6=1)</x:formula>
    </x:cfRule>
    <x:cfRule type="expression" dxfId="9" priority="10">
      <x:formula>AND(U6&lt;&gt;"",U6=0)</x:formula>
    </x:cfRule>
  </x:conditionalFormatting>
  <x:conditionalFormatting sqref="M6:M35">
    <x:cfRule type="cellIs" dxfId="10" priority="11" operator="equal">
      <x:formula>0</x:formula>
    </x:cfRule>
    <x:cfRule type="cellIs" dxfId="11" priority="12" operator="equal">
      <x:formula>1</x:formula>
    </x:cfRule>
  </x:conditionalFormatting>
  <x:conditionalFormatting sqref="P6:Q35">
    <x:cfRule type="colorScale" priority="13">
      <x:colorScale>
        <x:cfvo type="min"/>
        <x:cfvo type="percentile" val="50"/>
        <x:cfvo type="max"/>
        <x:color rgb="FFFDECEA"/>
        <x:color rgb="FFFFF1CD"/>
        <x:color rgb="FFE8F5EE"/>
      </x:colorScale>
    </x:cfRule>
  </x:conditionalFormatting>
  <x:dataValidations count="9">
    <x:dataValidation type="list" sqref="B6:B35">
      <x:formula1>"1-2학년,3-4학년"</x:formula1>
    </x:dataValidation>
    <x:dataValidation type="list" sqref="D6:D35">
      <x:formula1>"예,아니오"</x:formula1>
    </x:dataValidation>
    <x:dataValidation type="whole" operator="between" sqref="E6:I35">
      <x:formula1>0</x:formula1>
      <x:formula2>1</x:formula2>
    </x:dataValidation>
    <x:dataValidation type="whole" operator="between" sqref="K6:M35">
      <x:formula1>0</x:formula1>
      <x:formula2>1</x:formula2>
    </x:dataValidation>
    <x:dataValidation type="whole" operator="between" sqref="O6:O35">
      <x:formula1>0</x:formula1>
      <x:formula2>1</x:formula2>
    </x:dataValidation>
    <x:dataValidation type="whole" operator="between" sqref="R6:R35">
      <x:formula1>0</x:formula1>
      <x:formula2>1</x:formula2>
    </x:dataValidation>
    <x:dataValidation type="whole" operator="between" sqref="N6:N35">
      <x:formula1>0</x:formula1>
      <x:formula2>3</x:formula2>
    </x:dataValidation>
    <x:dataValidation type="whole" operator="between" sqref="P6:Q35">
      <x:formula1>1</x:formula1>
      <x:formula2>5</x:formula2>
    </x:dataValidation>
    <x:dataValidation type="decimal" operator="between" sqref="J6:J35">
      <x:formula1>0</x:formula1>
      <x:formula2>600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95729d0b1e64d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41.25" hidden="0" customWidth="1"/>
    <x:col min="3" max="3" width="22.5" hidden="0" customWidth="1"/>
    <x:col min="4" max="4" width="17.5" hidden="0" customWidth="1"/>
    <x:col min="5" max="5" width="12.5" hidden="0" customWidth="1"/>
    <x:col min="6" max="6" width="37.5" hidden="0" customWidth="1"/>
  </x:cols>
  <x:sheetData>
    <x:row r="1" ht="38" customHeight="1">
      <x:c r="A1" s="4" t="str">
        <x:v>TPO STYLE RESCUE · 입력 척도와 진행 기준</x:v>
      </x:c>
      <x:c r="B1" s="4"/>
      <x:c r="C1" s="4"/>
      <x:c r="D1" s="4"/>
      <x:c r="E1" s="4"/>
      <x:c r="F1" s="4"/>
    </x:row>
    <x:row r="3">
      <x:c r="A3" s="46" t="str">
        <x:v>TPO 이유 점수</x:v>
      </x:c>
      <x:c r="B3" s="47" t="str">
        <x:v>판정 기준</x:v>
      </x:c>
      <x:c r="C3" s="48"/>
      <x:c r="D3" s="46" t="str">
        <x:v>입력 항목</x:v>
      </x:c>
      <x:c r="E3" s="49" t="str">
        <x:v>값</x:v>
      </x:c>
      <x:c r="F3" s="49" t="str">
        <x:v>뜻</x:v>
      </x:c>
    </x:row>
    <x:row r="4" ht="28" customHeight="1">
      <x:c r="A4" s="50" t="n">
        <x:v>0</x:v>
      </x:c>
      <x:c r="B4" s="51" t="str">
        <x:v>이유가 없거나 상황과 무관함</x:v>
      </x:c>
      <x:c r="C4" s="52"/>
      <x:c r="D4" s="52" t="str">
        <x:v>정오답·예/아니오</x:v>
      </x:c>
      <x:c r="E4" s="52" t="str">
        <x:v>0 / 1</x:v>
      </x:c>
      <x:c r="F4" s="51" t="str">
        <x:v>0=아니오·오답, 1=예·정답</x:v>
      </x:c>
    </x:row>
    <x:row r="5" ht="28" customHeight="1">
      <x:c r="A5" s="50" t="n">
        <x:v>1</x:v>
      </x:c>
      <x:c r="B5" s="51" t="str">
        <x:v>색·예쁨·개인 취향만 말함</x:v>
      </x:c>
      <x:c r="C5" s="52"/>
      <x:c r="D5" s="52" t="str">
        <x:v>레이어 어색함</x:v>
      </x:c>
      <x:c r="E5" s="52" t="str">
        <x:v>0 / 1</x:v>
      </x:c>
      <x:c r="F5" s="51" t="str">
        <x:v>0=없음, 1=있음</x:v>
      </x:c>
    </x:row>
    <x:row r="6" ht="28" customHeight="1">
      <x:c r="A6" s="50" t="n">
        <x:v>2</x:v>
      </x:c>
      <x:c r="B6" s="51" t="str">
        <x:v>옷의 기능을 말함: “운동화라 뛰기 좋아”</x:v>
      </x:c>
      <x:c r="C6" s="52"/>
      <x:c r="D6" s="52" t="str">
        <x:v>수달 호감</x:v>
      </x:c>
      <x:c r="E6" s="52" t="str">
        <x:v>1-5</x:v>
      </x:c>
      <x:c r="F6" s="51" t="str">
        <x:v>1=전혀 아님, 5=매우 좋음</x:v>
      </x:c>
    </x:row>
    <x:row r="7" ht="28" customHeight="1">
      <x:c r="A7" s="50" t="n">
        <x:v>3</x:v>
      </x:c>
      <x:c r="B7" s="51" t="str">
        <x:v>상황과 기능을 인과로 연결함: “훈련장에서 빨리 움직여야 해서 운동화”</x:v>
      </x:c>
      <x:c r="C7" s="52"/>
      <x:c r="D7" s="52" t="str">
        <x:v>다음 화 의향</x:v>
      </x:c>
      <x:c r="E7" s="52" t="str">
        <x:v>1-5</x:v>
      </x:c>
      <x:c r="F7" s="51" t="str">
        <x:v>1=전혀 없음, 5=매우 있음</x:v>
      </x:c>
    </x:row>
    <x:row r="8" ht="28" customHeight="1">
      <x:c r="A8" s="50"/>
      <x:c r="B8" s="52"/>
      <x:c r="C8" s="52"/>
      <x:c r="D8" s="52" t="str">
        <x:v>선택 완료</x:v>
      </x:c>
      <x:c r="E8" s="52" t="str">
        <x:v>초</x:v>
      </x:c>
      <x:c r="F8" s="51" t="str">
        <x:v>첫 카드 선택부터 4개 완료까지</x:v>
      </x:c>
    </x:row>
    <x:row r="9" ht="28" customHeight="1">
      <x:c r="A9" s="50"/>
      <x:c r="B9" s="52"/>
      <x:c r="C9" s="52"/>
      <x:c r="D9" s="52" t="str">
        <x:v>참여자 ID</x:v>
      </x:c>
      <x:c r="E9" s="52" t="str">
        <x:v>T01</x:v>
      </x:c>
      <x:c r="F9" s="51" t="str">
        <x:v>이름 대신 익명 코드</x:v>
      </x:c>
    </x:row>
    <x:row r="10" ht="32" customHeight="1">
      <x:c r="A10" s="53" t="str">
        <x:v>운영 단계</x:v>
      </x:c>
      <x:c r="B10" s="54" t="str">
        <x:v>권장 인원</x:v>
      </x:c>
      <x:c r="C10" s="55" t="str">
        <x:v>목적</x:v>
      </x:c>
      <x:c r="D10" s="56" t="str">
        <x:v>학년군</x:v>
      </x:c>
      <x:c r="E10" s="56" t="str">
        <x:v>1-2 / 3-4</x:v>
      </x:c>
      <x:c r="F10" s="57" t="str">
        <x:v>개인 학년 대신 학년군만 기록</x:v>
      </x:c>
    </x:row>
    <x:row r="11" ht="28" customHeight="1">
      <x:c r="A11" s="50" t="str">
        <x:v>형성 검증</x:v>
      </x:c>
      <x:c r="B11" s="52" t="str">
        <x:v>최소 6명</x:v>
      </x:c>
      <x:c r="C11" s="52" t="str">
        <x:v>반복되는 문제와 이해되지 않는 표현 발견</x:v>
      </x:c>
      <x:c r="D11" s="52" t="str">
        <x:v>보호자 동의</x:v>
      </x:c>
      <x:c r="E11" s="52" t="str">
        <x:v>예 / 아니오</x:v>
      </x:c>
      <x:c r="F11" s="51" t="str">
        <x:v>아니오인 경우 검증하지 않음</x:v>
      </x:c>
    </x:row>
    <x:row r="12" ht="28" customHeight="1">
      <x:c r="A12" s="50" t="str">
        <x:v>의사결정 검증</x:v>
      </x:c>
      <x:c r="B12" s="52" t="str">
        <x:v>권장 18명</x:v>
      </x:c>
      <x:c r="C12" s="52" t="str">
        <x:v>Gate 7 진입 여부 판단</x:v>
      </x:c>
      <x:c r="D12" s="52" t="str">
        <x:v>관찰 메모</x:v>
      </x:c>
      <x:c r="E12" s="52" t="str">
        <x:v>자유 문장</x:v>
      </x:c>
      <x:c r="F12" s="51" t="str">
        <x:v>아동 표현을 가능한 그대로 기록</x:v>
      </x:c>
    </x:row>
    <x:row r="13" ht="28" customHeight="1">
      <x:c r="A13" s="50"/>
      <x:c r="B13" s="52"/>
      <x:c r="C13" s="52"/>
      <x:c r="D13" s="52" t="str">
        <x:v>새 상황 적용</x:v>
      </x:c>
      <x:c r="E13" s="52" t="str">
        <x:v>0 / 1</x:v>
      </x:c>
      <x:c r="F13" s="51" t="str">
        <x:v>새로운 TPO에서 기능에 맞게 선택</x:v>
      </x:c>
    </x:row>
    <x:row r="15" ht="30" customHeight="1">
      <x:c r="A15" s="6" t="str">
        <x:v>개인정보 최소화 · 이름, 연락처, 얼굴 사진, 음성은 이 기록표에 넣지 않습니다. 기관 검증으로 확대할 때는 해당 기관 절차를 우선하세요.</x:v>
      </x:c>
      <x:c r="B15" s="6"/>
      <x:c r="C15" s="6"/>
      <x:c r="D15" s="6"/>
      <x:c r="E15" s="6"/>
      <x:c r="F15" s="6"/>
    </x:row>
  </x:sheetData>
  <x:mergeCells>
    <x:mergeCell ref="A1:F1"/>
    <x:mergeCell ref="A15:F15"/>
  </x:mergeCells>
  <x:pageMargins left="0.7" right="0.7" top="0.75" bottom="0.75" header="0.3" footer="0.3"/>
</x:worksheet>
</file>